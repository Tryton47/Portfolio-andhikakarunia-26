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AFCC31B06FA8B303/Dokumen/KULIAH/SEMESTER 6/T.peramalan/"/>
    </mc:Choice>
  </mc:AlternateContent>
  <xr:revisionPtr revIDLastSave="0" documentId="8_{CA6F0C61-00FC-4556-BE86-6A9562DCDDA4}" xr6:coauthVersionLast="47" xr6:coauthVersionMax="47" xr10:uidLastSave="{00000000-0000-0000-0000-000000000000}"/>
  <bookViews>
    <workbookView xWindow="-120" yWindow="-120" windowWidth="29040" windowHeight="15720" xr2:uid="{00000000-000D-0000-FFFF-FFFF00000000}"/>
  </bookViews>
  <sheets>
    <sheet name="Tugas 7" sheetId="2" r:id="rId1"/>
    <sheet name="Tugas 6" sheetId="1" r:id="rId2"/>
    <sheet name="DT 1"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 i="1" l="1"/>
  <c r="C2" i="2"/>
  <c r="C40" i="1" l="1"/>
  <c r="C3" i="1"/>
  <c r="C3" i="2"/>
  <c r="C4" i="1" l="1"/>
  <c r="D3" i="1"/>
  <c r="C4" i="2"/>
  <c r="E4" i="2"/>
  <c r="F4" i="2" s="1"/>
  <c r="G4" i="2" s="1"/>
  <c r="C5" i="1" l="1"/>
  <c r="D4" i="1"/>
  <c r="C5" i="2"/>
  <c r="E5" i="2"/>
  <c r="F5" i="2" s="1"/>
  <c r="G5" i="2" s="1"/>
  <c r="D4" i="2"/>
  <c r="C6" i="1" l="1"/>
  <c r="D5" i="1"/>
  <c r="D5" i="2"/>
  <c r="E6" i="2"/>
  <c r="F6" i="2" s="1"/>
  <c r="G6" i="2" s="1"/>
  <c r="C6" i="2"/>
  <c r="C7" i="1" l="1"/>
  <c r="D6" i="1"/>
  <c r="D6" i="2"/>
  <c r="D7" i="1" l="1"/>
  <c r="C8" i="1"/>
  <c r="C7" i="2"/>
  <c r="E7" i="2"/>
  <c r="F7" i="2" s="1"/>
  <c r="G7" i="2" s="1"/>
  <c r="D8" i="1" l="1"/>
  <c r="C9" i="1"/>
  <c r="D7" i="2"/>
  <c r="D9" i="1" l="1"/>
  <c r="C10" i="1"/>
  <c r="E8" i="2"/>
  <c r="F8" i="2" s="1"/>
  <c r="G8" i="2" s="1"/>
  <c r="C8" i="2"/>
  <c r="D10" i="1" l="1"/>
  <c r="C11" i="1"/>
  <c r="E9" i="2"/>
  <c r="F9" i="2" s="1"/>
  <c r="G9" i="2" s="1"/>
  <c r="D8" i="2"/>
  <c r="D11" i="1" l="1"/>
  <c r="C12" i="1"/>
  <c r="C9" i="2"/>
  <c r="D12" i="1" l="1"/>
  <c r="C13" i="1"/>
  <c r="E10" i="2"/>
  <c r="F10" i="2" s="1"/>
  <c r="G10" i="2" s="1"/>
  <c r="D9" i="2"/>
  <c r="D13" i="1" l="1"/>
  <c r="C14" i="1"/>
  <c r="C10" i="2"/>
  <c r="D14" i="1" l="1"/>
  <c r="C15" i="1"/>
  <c r="D10" i="2"/>
  <c r="D15" i="1" l="1"/>
  <c r="C16" i="1"/>
  <c r="C11" i="2"/>
  <c r="E11" i="2"/>
  <c r="F11" i="2" s="1"/>
  <c r="G11" i="2" s="1"/>
  <c r="D16" i="1" l="1"/>
  <c r="C17" i="1"/>
  <c r="E12" i="2"/>
  <c r="F12" i="2" s="1"/>
  <c r="G12" i="2" s="1"/>
  <c r="D11" i="2"/>
  <c r="D17" i="1" l="1"/>
  <c r="C18" i="1"/>
  <c r="C12" i="2"/>
  <c r="D18" i="1" l="1"/>
  <c r="C19" i="1"/>
  <c r="E13" i="2"/>
  <c r="F13" i="2" s="1"/>
  <c r="G13" i="2" s="1"/>
  <c r="D12" i="2"/>
  <c r="D19" i="1" l="1"/>
  <c r="C20" i="1"/>
  <c r="C13" i="2"/>
  <c r="D20" i="1" l="1"/>
  <c r="C21" i="1"/>
  <c r="D13" i="2"/>
  <c r="D21" i="1" l="1"/>
  <c r="C22" i="1"/>
  <c r="C14" i="2"/>
  <c r="E14" i="2"/>
  <c r="F14" i="2" s="1"/>
  <c r="G14" i="2" s="1"/>
  <c r="D22" i="1" l="1"/>
  <c r="C23" i="1"/>
  <c r="E15" i="2"/>
  <c r="F15" i="2" s="1"/>
  <c r="G15" i="2" s="1"/>
  <c r="C15" i="2"/>
  <c r="D14" i="2"/>
  <c r="D23" i="1" l="1"/>
  <c r="C24" i="1"/>
  <c r="D15" i="2"/>
  <c r="C16" i="2"/>
  <c r="E16" i="2"/>
  <c r="F16" i="2" s="1"/>
  <c r="G16" i="2" s="1"/>
  <c r="D24" i="1" l="1"/>
  <c r="C25" i="1"/>
  <c r="D16" i="2"/>
  <c r="D25" i="1" l="1"/>
  <c r="C26" i="1"/>
  <c r="C17" i="2"/>
  <c r="E17" i="2"/>
  <c r="F17" i="2" s="1"/>
  <c r="G17" i="2" s="1"/>
  <c r="D26" i="1" l="1"/>
  <c r="C27" i="1"/>
  <c r="D17" i="2"/>
  <c r="D27" i="1" l="1"/>
  <c r="C28" i="1"/>
  <c r="E18" i="2"/>
  <c r="F18" i="2" s="1"/>
  <c r="G18" i="2" s="1"/>
  <c r="C18" i="2"/>
  <c r="C29" i="1" l="1"/>
  <c r="D28" i="1"/>
  <c r="E19" i="2"/>
  <c r="F19" i="2" s="1"/>
  <c r="G19" i="2" s="1"/>
  <c r="D18" i="2"/>
  <c r="D29" i="1" l="1"/>
  <c r="C30" i="1"/>
  <c r="C19" i="2"/>
  <c r="C31" i="1" l="1"/>
  <c r="D30" i="1"/>
  <c r="D19" i="2"/>
  <c r="C32" i="1" l="1"/>
  <c r="D31" i="1"/>
  <c r="E20" i="2"/>
  <c r="F20" i="2" s="1"/>
  <c r="G20" i="2" s="1"/>
  <c r="C20" i="2"/>
  <c r="C33" i="1" l="1"/>
  <c r="D32" i="1"/>
  <c r="D20" i="2"/>
  <c r="D33" i="1" l="1"/>
  <c r="C34" i="1"/>
  <c r="E21" i="2"/>
  <c r="F21" i="2" s="1"/>
  <c r="G21" i="2" s="1"/>
  <c r="C21" i="2"/>
  <c r="D34" i="1" l="1"/>
  <c r="C35" i="1"/>
  <c r="D21" i="2"/>
  <c r="D35" i="1" l="1"/>
  <c r="C36" i="1"/>
  <c r="E22" i="2"/>
  <c r="F22" i="2" s="1"/>
  <c r="G22" i="2" s="1"/>
  <c r="C22" i="2"/>
  <c r="D36" i="1" l="1"/>
  <c r="C37" i="1"/>
  <c r="E23" i="2"/>
  <c r="F23" i="2" s="1"/>
  <c r="G23" i="2" s="1"/>
  <c r="C23" i="2"/>
  <c r="D22" i="2"/>
  <c r="D37" i="1" l="1"/>
  <c r="C38" i="1"/>
  <c r="C24" i="2"/>
  <c r="D23" i="2"/>
  <c r="D24" i="2" l="1"/>
  <c r="C25" i="2"/>
  <c r="E25" i="2"/>
  <c r="F25" i="2" s="1"/>
  <c r="G25" i="2" s="1"/>
  <c r="E24" i="2"/>
  <c r="F24" i="2" s="1"/>
  <c r="G24" i="2" s="1"/>
  <c r="D25" i="2" l="1"/>
  <c r="C26" i="2"/>
  <c r="D26" i="2" l="1"/>
  <c r="C27" i="2"/>
  <c r="E27" i="2"/>
  <c r="F27" i="2" s="1"/>
  <c r="G27" i="2" s="1"/>
  <c r="E26" i="2"/>
  <c r="F26" i="2" s="1"/>
  <c r="G26" i="2" s="1"/>
  <c r="D27" i="2" l="1"/>
  <c r="C28" i="2"/>
  <c r="E28" i="2"/>
  <c r="F28" i="2" s="1"/>
  <c r="G28" i="2" s="1"/>
  <c r="D28" i="2" l="1"/>
  <c r="C29" i="2"/>
  <c r="E29" i="2"/>
  <c r="F29" i="2" s="1"/>
  <c r="G29" i="2" s="1"/>
  <c r="D29" i="2" l="1"/>
  <c r="C30" i="2"/>
  <c r="E30" i="2"/>
  <c r="F30" i="2" s="1"/>
  <c r="G30" i="2" s="1"/>
  <c r="D30" i="2" l="1"/>
  <c r="C31" i="2"/>
  <c r="E31" i="2"/>
  <c r="F31" i="2" s="1"/>
  <c r="G31" i="2" s="1"/>
  <c r="D31" i="2" l="1"/>
  <c r="C32" i="2"/>
  <c r="E32" i="2"/>
  <c r="F32" i="2" s="1"/>
  <c r="G32" i="2" s="1"/>
  <c r="D32" i="2" l="1"/>
  <c r="C33" i="2"/>
  <c r="E33" i="2"/>
  <c r="F33" i="2" s="1"/>
  <c r="G33" i="2" s="1"/>
  <c r="D33" i="2" l="1"/>
  <c r="C34" i="2" l="1"/>
  <c r="E34" i="2"/>
  <c r="F34" i="2" s="1"/>
  <c r="G34" i="2" s="1"/>
  <c r="E35" i="2" l="1"/>
  <c r="F35" i="2" s="1"/>
  <c r="G35" i="2" s="1"/>
  <c r="C35" i="2"/>
  <c r="D34" i="2"/>
  <c r="D35" i="2" l="1"/>
  <c r="E36" i="2" l="1"/>
  <c r="F36" i="2" s="1"/>
  <c r="G36" i="2" s="1"/>
  <c r="C36" i="2"/>
  <c r="D36" i="2" l="1"/>
  <c r="E37" i="2" l="1"/>
  <c r="F37" i="2" s="1"/>
  <c r="G37" i="2" s="1"/>
  <c r="G39" i="2" s="1"/>
  <c r="C37" i="2"/>
  <c r="D37" i="2" l="1"/>
  <c r="E38" i="2"/>
</calcChain>
</file>

<file path=xl/sharedStrings.xml><?xml version="1.0" encoding="utf-8"?>
<sst xmlns="http://schemas.openxmlformats.org/spreadsheetml/2006/main" count="103" uniqueCount="100">
  <si>
    <t>Periode</t>
  </si>
  <si>
    <t>Aktual</t>
  </si>
  <si>
    <t>Level (Lt)</t>
  </si>
  <si>
    <t>Trend(Tt)</t>
  </si>
  <si>
    <t>Forecast</t>
  </si>
  <si>
    <t>Error</t>
  </si>
  <si>
    <t>APE</t>
  </si>
  <si>
    <t>MAPE</t>
  </si>
  <si>
    <t>ERROR</t>
  </si>
  <si>
    <t>ALPHA =</t>
  </si>
  <si>
    <t>Bulan/tahun</t>
  </si>
  <si>
    <t>Jan</t>
  </si>
  <si>
    <t>Feb</t>
  </si>
  <si>
    <t>Mar</t>
  </si>
  <si>
    <t>Apr</t>
  </si>
  <si>
    <t>May</t>
  </si>
  <si>
    <t>Jun</t>
  </si>
  <si>
    <t>Jul</t>
  </si>
  <si>
    <t>Aug</t>
  </si>
  <si>
    <t>Sep</t>
  </si>
  <si>
    <t>Oct</t>
  </si>
  <si>
    <t>Nov</t>
  </si>
  <si>
    <t>Dec</t>
  </si>
  <si>
    <t>TAHUNAN</t>
  </si>
  <si>
    <t>Forecast SES</t>
  </si>
  <si>
    <t>Sumber data</t>
  </si>
  <si>
    <t>https://www.bps.go.id/id/statistics-table/2/MjM0OSMy/jumlah-penumpang-pesawat-angkutan-udara-domestik-di-5-bandara-utama.html</t>
  </si>
  <si>
    <t>No.</t>
  </si>
  <si>
    <t>NIM</t>
  </si>
  <si>
    <t>Nama</t>
  </si>
  <si>
    <t>DIMAS RAJENDRA PANDYA JIWANTA</t>
  </si>
  <si>
    <t>Keberangkatan Kualanamu-Medan 2023-2025</t>
  </si>
  <si>
    <t>ADAM NUR KHOLIQ SATRIA</t>
  </si>
  <si>
    <t>Keberangkatan Soekarno Hatta-Jakarta 2023-2025</t>
  </si>
  <si>
    <t>TIKA AULIA</t>
  </si>
  <si>
    <t>Keberangkatan Juanda-Surabaya 2023-2025</t>
  </si>
  <si>
    <t>ADI PAPA KAMBARU NYONGA</t>
  </si>
  <si>
    <t>Keberangkatan Hasanudin-Makassar 2023-2025</t>
  </si>
  <si>
    <t>MUHAMMAD FAHRI SAFAAT</t>
  </si>
  <si>
    <t>Keberangkatan Ngurah Rai-Bali 2023-2025</t>
  </si>
  <si>
    <t>BATRISYIA IZZATI ARDIANSYAH</t>
  </si>
  <si>
    <t>Kedatangan Kualanamu-Medan 2023-2025</t>
  </si>
  <si>
    <t>MAHESWARA WEKA RAJENDRA</t>
  </si>
  <si>
    <t>Kedatangan Soekarno Hatta-Jakarta 2023-2025</t>
  </si>
  <si>
    <t>RIO FELIX WICAKSONO</t>
  </si>
  <si>
    <t>Kedatangan Juanda-Surabaya 2023-2025</t>
  </si>
  <si>
    <t>JUAN FARREL HERMANTO</t>
  </si>
  <si>
    <t>Kedatangan Hasanudin-Makassar 2023-2025</t>
  </si>
  <si>
    <t>REUBEN SEBASTIAN SUITELLA</t>
  </si>
  <si>
    <t>Kedatangan Ngurah Rai-Bali 2023-2025</t>
  </si>
  <si>
    <t>MUHAMMAD FARHAN</t>
  </si>
  <si>
    <t>Transit Kualanamu-Medan 2023-2025</t>
  </si>
  <si>
    <t>ELISABET NIO</t>
  </si>
  <si>
    <t>Transit Soekarno Hatta-Jakarta 2023-2025</t>
  </si>
  <si>
    <t>FAHMI ALFIAN AKBAR</t>
  </si>
  <si>
    <t>Transit Juanda-Surabaya 2023-2025</t>
  </si>
  <si>
    <t>MOHAMMAD RAFI ASA DANA</t>
  </si>
  <si>
    <t>Transit Hasanudin-Makassar 2023-2025</t>
  </si>
  <si>
    <t>CHARLIE TULUS NAINGGOLAN</t>
  </si>
  <si>
    <t>Transit Ngurah Rai-Bali 2023-2025</t>
  </si>
  <si>
    <t>GRAVEZEN FERDATAMA TOY</t>
  </si>
  <si>
    <t>Keberangkatan Kualanamu-Medan 2021-2023</t>
  </si>
  <si>
    <t>YOSEFA KARMITA SUNG</t>
  </si>
  <si>
    <t>Keberangkatan Soekarno Hatta-Jakarta 2021-2023</t>
  </si>
  <si>
    <t>HENI MIRANDA</t>
  </si>
  <si>
    <t>Keberangkatan Juanda-Surabaya 2021-2023</t>
  </si>
  <si>
    <t>MUHAMMAD RAIHAN VIANTA DIPA</t>
  </si>
  <si>
    <t>Keberangkatan Hasanudin-Makassar 2021-2023</t>
  </si>
  <si>
    <t>ANDHIKA KARUNIA RIZQI SETYAWAN</t>
  </si>
  <si>
    <t>Keberangkatan Ngurah Rai-Bali 2021-2023</t>
  </si>
  <si>
    <t>MUHAMMAD RHOSID NARENDRA</t>
  </si>
  <si>
    <t>Kedatangan Kualanamu-Medan 2021-2023</t>
  </si>
  <si>
    <t>JENNY ADELIA</t>
  </si>
  <si>
    <t>Kedatangan Soekarno Hatta-Jakarta 2021-2023</t>
  </si>
  <si>
    <t>DANU AGENG PANGESTU</t>
  </si>
  <si>
    <t>Kedatangan Juanda-Surabaya 2021-2023</t>
  </si>
  <si>
    <t>RAHMANDA AHMAD WILYAN JANUARDO</t>
  </si>
  <si>
    <t>Kedatangan Hasanudin-Makassar 2021-2023</t>
  </si>
  <si>
    <t>ARYASATYA HAFIZ PURNAMA</t>
  </si>
  <si>
    <t>Kedatangan Ngurah Rai-Bali 2021-2023</t>
  </si>
  <si>
    <t>LEONARDO CALVIN SOBAGJA</t>
  </si>
  <si>
    <t>Transit Kualanamu-Medan 2021-2023</t>
  </si>
  <si>
    <t>MOCHAMAD DWI SETIAWAN</t>
  </si>
  <si>
    <t>Transit Soekarno Hatta-Jakarta 2021-2023</t>
  </si>
  <si>
    <t>MICHAEL SANATY</t>
  </si>
  <si>
    <t>Transit Juanda-Surabaya 2021-2023</t>
  </si>
  <si>
    <t>NESCELIA EVANILA HOSIANA MANIBUY</t>
  </si>
  <si>
    <t>Transit Hasanudin-Makassar 2021-2023</t>
  </si>
  <si>
    <t>HENDRIKUS DE ORNAI</t>
  </si>
  <si>
    <t>Transit Ngurah Rai-Bali 2021-2023</t>
  </si>
  <si>
    <t>ARDIAN GEFI ALGIFARI</t>
  </si>
  <si>
    <t>Keberangkatan Kualanamu-Medan 2019-2021</t>
  </si>
  <si>
    <t>MONIKA DE JESUS HENRIQUE</t>
  </si>
  <si>
    <t>Keberangkatan Soekarno Hatta-Jakarta 2019-2021</t>
  </si>
  <si>
    <t>MARGARETA SELESTINA MEDHO</t>
  </si>
  <si>
    <t>Keberangkatan Juanda-Surabaya 2019-2021</t>
  </si>
  <si>
    <t>BARNABAS WANO MATATULA</t>
  </si>
  <si>
    <t>Keberangkatan Hasanudin-Makassar 2019-2021</t>
  </si>
  <si>
    <t>DWI WASTI JUNIASIH</t>
  </si>
  <si>
    <t>Keberangkatan Ngurah Rai-Bali 2019-2021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</si>
</sst>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charset val="1"/>
      <scheme val="minor"/>
    </font>
    <font>
      <b/>
      <sz val="11"/>
      <color theme="1"/>
      <name val="Calibri"/>
      <family val="2"/>
      <charset val="1"/>
      <scheme val="minor"/>
    </font>
    <font>
      <b/>
      <sz val="11"/>
      <color theme="1"/>
      <name val="Calibri"/>
      <family val="2"/>
      <scheme val="minor"/>
    </font>
    <font>
      <sz val="11"/>
      <color theme="1"/>
      <name val="Calibri"/>
      <family val="2"/>
      <scheme val="minor"/>
    </font>
    <font>
      <u/>
      <sz val="11"/>
      <color theme="10"/>
      <name val="Calibri"/>
      <family val="2"/>
      <charset val="1"/>
      <scheme val="minor"/>
    </font>
    <font>
      <sz val="14"/>
      <color rgb="FF111111"/>
      <name val="Inter"/>
    </font>
    <font>
      <b/>
      <sz val="12"/>
      <color theme="1"/>
      <name val="Calibri"/>
      <family val="2"/>
      <scheme val="minor"/>
    </font>
    <font>
      <sz val="10"/>
      <color theme="1"/>
      <name val="Calibri"/>
      <family val="2"/>
      <charset val="1"/>
      <scheme val="minor"/>
    </font>
    <font>
      <sz val="10"/>
      <color rgb="FF111111"/>
      <name val="Inter"/>
    </font>
  </fonts>
  <fills count="10">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F1F5F9"/>
        <bgColor indexed="64"/>
      </patternFill>
    </fill>
    <fill>
      <patternFill patternType="solid">
        <fgColor rgb="FFCBD5E1"/>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7" tint="0.59999389629810485"/>
        <bgColor indexed="64"/>
      </patternFill>
    </fill>
  </fills>
  <borders count="6">
    <border>
      <left/>
      <right/>
      <top/>
      <bottom/>
      <diagonal/>
    </border>
    <border>
      <left/>
      <right style="medium">
        <color rgb="FFCBD5E1"/>
      </right>
      <top style="medium">
        <color rgb="FFCBD5E1"/>
      </top>
      <bottom/>
      <diagonal/>
    </border>
    <border>
      <left/>
      <right/>
      <top style="medium">
        <color rgb="FFCBD5E1"/>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2">
    <xf numFmtId="0" fontId="0" fillId="0" borderId="0"/>
    <xf numFmtId="0" fontId="4" fillId="0" borderId="0"/>
  </cellStyleXfs>
  <cellXfs count="38">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left" vertical="center" wrapText="1"/>
    </xf>
    <xf numFmtId="0" fontId="0" fillId="0" borderId="0" xfId="0" applyAlignment="1">
      <alignment horizontal="left"/>
    </xf>
    <xf numFmtId="0" fontId="3" fillId="2" borderId="0" xfId="0" applyFont="1" applyFill="1" applyAlignment="1">
      <alignment horizontal="left" vertical="center" wrapText="1"/>
    </xf>
    <xf numFmtId="0" fontId="3" fillId="3" borderId="0" xfId="0" applyFont="1" applyFill="1" applyAlignment="1">
      <alignment horizontal="left" vertical="center" wrapText="1"/>
    </xf>
    <xf numFmtId="0" fontId="3" fillId="4" borderId="0" xfId="0" applyFont="1" applyFill="1" applyAlignment="1">
      <alignment horizontal="left" vertical="center" wrapText="1"/>
    </xf>
    <xf numFmtId="0" fontId="4" fillId="0" borderId="0" xfId="1"/>
    <xf numFmtId="3" fontId="5" fillId="5" borderId="1" xfId="0" applyNumberFormat="1" applyFont="1" applyFill="1" applyBorder="1" applyAlignment="1">
      <alignment horizontal="right" vertical="center" wrapText="1"/>
    </xf>
    <xf numFmtId="0" fontId="5" fillId="5" borderId="1" xfId="0" applyFont="1" applyFill="1" applyBorder="1" applyAlignment="1">
      <alignment horizontal="right" vertical="center" wrapText="1"/>
    </xf>
    <xf numFmtId="3" fontId="5" fillId="5" borderId="2" xfId="0" applyNumberFormat="1" applyFont="1" applyFill="1" applyBorder="1" applyAlignment="1">
      <alignment horizontal="right" vertical="center" wrapText="1"/>
    </xf>
    <xf numFmtId="0" fontId="0" fillId="4" borderId="3" xfId="0" applyFill="1" applyBorder="1" applyAlignment="1">
      <alignment horizontal="center"/>
    </xf>
    <xf numFmtId="0" fontId="0" fillId="0" borderId="0" xfId="0" applyAlignment="1">
      <alignment horizontal="center"/>
    </xf>
    <xf numFmtId="3" fontId="5" fillId="6" borderId="3" xfId="0" applyNumberFormat="1" applyFont="1" applyFill="1" applyBorder="1" applyAlignment="1">
      <alignment horizontal="center" vertical="center" wrapText="1"/>
    </xf>
    <xf numFmtId="0" fontId="6" fillId="4" borderId="3" xfId="0" applyFont="1" applyFill="1" applyBorder="1" applyAlignment="1">
      <alignment horizontal="center"/>
    </xf>
    <xf numFmtId="0" fontId="2" fillId="7" borderId="0" xfId="0" applyFont="1" applyFill="1" applyAlignment="1">
      <alignment horizontal="center"/>
    </xf>
    <xf numFmtId="3" fontId="5" fillId="7" borderId="3" xfId="0" applyNumberFormat="1" applyFont="1" applyFill="1" applyBorder="1" applyAlignment="1">
      <alignment horizontal="center" vertical="center" wrapText="1"/>
    </xf>
    <xf numFmtId="17" fontId="0" fillId="0" borderId="0" xfId="0" applyNumberFormat="1"/>
    <xf numFmtId="0" fontId="2" fillId="0" borderId="0" xfId="0" applyFont="1"/>
    <xf numFmtId="0" fontId="6" fillId="7" borderId="3" xfId="0" applyFont="1" applyFill="1" applyBorder="1" applyAlignment="1">
      <alignment horizontal="center"/>
    </xf>
    <xf numFmtId="0" fontId="6" fillId="7" borderId="4" xfId="0" applyFont="1" applyFill="1" applyBorder="1" applyAlignment="1">
      <alignment horizontal="center"/>
    </xf>
    <xf numFmtId="3" fontId="8" fillId="6" borderId="3" xfId="0" applyNumberFormat="1" applyFont="1" applyFill="1" applyBorder="1" applyAlignment="1">
      <alignment horizontal="center" vertical="center" wrapText="1"/>
    </xf>
    <xf numFmtId="17" fontId="7" fillId="0" borderId="3" xfId="0" applyNumberFormat="1" applyFont="1" applyBorder="1" applyAlignment="1">
      <alignment horizontal="center"/>
    </xf>
    <xf numFmtId="3" fontId="8" fillId="5" borderId="3" xfId="0" applyNumberFormat="1" applyFont="1" applyFill="1" applyBorder="1" applyAlignment="1">
      <alignment horizontal="center" vertical="center" wrapText="1"/>
    </xf>
    <xf numFmtId="0" fontId="7" fillId="0" borderId="3" xfId="0" applyFont="1" applyBorder="1" applyAlignment="1">
      <alignment horizontal="center"/>
    </xf>
    <xf numFmtId="0" fontId="6" fillId="7" borderId="5" xfId="0" applyFont="1" applyFill="1" applyBorder="1" applyAlignment="1">
      <alignment horizontal="center"/>
    </xf>
    <xf numFmtId="3" fontId="0" fillId="0" borderId="0" xfId="0" applyNumberFormat="1"/>
    <xf numFmtId="0" fontId="2" fillId="7" borderId="0" xfId="0" applyFont="1" applyFill="1"/>
    <xf numFmtId="17" fontId="7" fillId="7" borderId="3" xfId="0" applyNumberFormat="1" applyFont="1" applyFill="1" applyBorder="1" applyAlignment="1">
      <alignment horizontal="center"/>
    </xf>
    <xf numFmtId="0" fontId="0" fillId="8" borderId="0" xfId="0" applyFill="1"/>
    <xf numFmtId="3" fontId="0" fillId="0" borderId="3" xfId="0" applyNumberFormat="1" applyBorder="1" applyAlignment="1">
      <alignment horizontal="center"/>
    </xf>
    <xf numFmtId="0" fontId="0" fillId="0" borderId="3" xfId="0" applyBorder="1" applyAlignment="1">
      <alignment horizontal="center"/>
    </xf>
    <xf numFmtId="0" fontId="0" fillId="0" borderId="3" xfId="0" applyBorder="1"/>
    <xf numFmtId="0" fontId="0" fillId="3" borderId="3" xfId="0" applyFill="1" applyBorder="1"/>
    <xf numFmtId="0" fontId="0" fillId="3" borderId="0" xfId="0" applyFill="1"/>
    <xf numFmtId="3" fontId="0" fillId="9" borderId="3" xfId="0" applyNumberForma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593911</xdr:colOff>
      <xdr:row>0</xdr:row>
      <xdr:rowOff>0</xdr:rowOff>
    </xdr:from>
    <xdr:to>
      <xdr:col>18</xdr:col>
      <xdr:colOff>166940</xdr:colOff>
      <xdr:row>41</xdr:row>
      <xdr:rowOff>51126</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7205382" y="0"/>
          <a:ext cx="5019087" cy="7872832"/>
        </a:xfrm>
        <a:prstGeom prst="rect">
          <a:avLst/>
        </a:prstGeom>
        <a:ln>
          <a:prstDash val="solid"/>
        </a:ln>
      </xdr:spPr>
    </xdr:pic>
    <xdr:clientData/>
  </xdr:twoCellAnchor>
  <xdr:twoCellAnchor editAs="oneCell">
    <xdr:from>
      <xdr:col>7</xdr:col>
      <xdr:colOff>22411</xdr:colOff>
      <xdr:row>3</xdr:row>
      <xdr:rowOff>2</xdr:rowOff>
    </xdr:from>
    <xdr:to>
      <xdr:col>10</xdr:col>
      <xdr:colOff>72615</xdr:colOff>
      <xdr:row>6</xdr:row>
      <xdr:rowOff>112059</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2"/>
        <a:srcRect l="7243"/>
        <a:stretch>
          <a:fillRect/>
        </a:stretch>
      </xdr:blipFill>
      <xdr:spPr>
        <a:xfrm>
          <a:off x="5423646" y="582708"/>
          <a:ext cx="1865557" cy="683557"/>
        </a:xfrm>
        <a:prstGeom prst="rect">
          <a:avLst/>
        </a:prstGeom>
        <a:ln>
          <a:prstDash val="solid"/>
        </a:ln>
      </xdr:spPr>
    </xdr:pic>
    <xdr:clientData/>
  </xdr:twoCellAnchor>
  <xdr:twoCellAnchor>
    <xdr:from>
      <xdr:col>0</xdr:col>
      <xdr:colOff>11206</xdr:colOff>
      <xdr:row>39</xdr:row>
      <xdr:rowOff>179295</xdr:rowOff>
    </xdr:from>
    <xdr:to>
      <xdr:col>10</xdr:col>
      <xdr:colOff>11206</xdr:colOff>
      <xdr:row>46</xdr:row>
      <xdr:rowOff>22413</xdr:rowOff>
    </xdr:to>
    <xdr:sp macro="" textlink="">
      <xdr:nvSpPr>
        <xdr:cNvPr id="4" name="TextBox 3">
          <a:extLst>
            <a:ext uri="{FF2B5EF4-FFF2-40B4-BE49-F238E27FC236}">
              <a16:creationId xmlns:a16="http://schemas.microsoft.com/office/drawing/2014/main" id="{D99AED60-809F-3522-1EE9-EB0852119CB6}"/>
            </a:ext>
          </a:extLst>
        </xdr:cNvPr>
        <xdr:cNvSpPr txBox="1"/>
      </xdr:nvSpPr>
      <xdr:spPr>
        <a:xfrm>
          <a:off x="11206" y="7620001"/>
          <a:ext cx="7216588" cy="11766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a:t>Dari hasil peramalan Double Exponential Smoothing yang dilakukan di Minitab, didapat nilai α = 0,794979 dan β = 0,044857 sebagai parameter terbaik. Kedua nilai ini kemudian dipakai untuk perhitungan manual di Excel, dengan Level awal diambil dari data periode pertama dan Trend awal ditetapkan 0 pada periode kedua, sesuai prosedur baku metode Holt. Hasil perhitungan manual menunjukkan MAPE sebesar 30,26%, yang nilainya cukup dekat dengan MAPE Minitab sebesar 32%. Selisih kecil ini wajar terjadi karena perbedaan kecil dalam penanganan nilai awal antara software dan perhitungan manual. Forecast untuk Januari 2024 dari perhitungan manual adalah 430.902, mendekati hasil Minitab yang sebesar 435.202.</a:t>
          </a:r>
          <a:endParaRPr lang="id-ID"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bps.go.id/id/statistics-table/2/MjM0OSMy/jumlah-penumpang-pesawat-angkutan-udara-domestik-di-5-bandara-utama.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9"/>
  <sheetViews>
    <sheetView tabSelected="1" topLeftCell="A7" zoomScale="70" zoomScaleNormal="70" workbookViewId="0">
      <selection activeCell="O45" sqref="O45"/>
    </sheetView>
  </sheetViews>
  <sheetFormatPr defaultRowHeight="15"/>
  <cols>
    <col min="1" max="1" width="8.5703125" bestFit="1" customWidth="1"/>
    <col min="2" max="2" width="13.85546875" customWidth="1"/>
    <col min="3" max="3" width="14.85546875" customWidth="1"/>
    <col min="4" max="4" width="12.85546875" customWidth="1"/>
    <col min="5" max="5" width="12.7109375" customWidth="1"/>
    <col min="8" max="8" width="9.140625" customWidth="1"/>
  </cols>
  <sheetData>
    <row r="1" spans="1:8" ht="15.75" customHeight="1">
      <c r="A1" s="21" t="s">
        <v>0</v>
      </c>
      <c r="B1" s="21" t="s">
        <v>1</v>
      </c>
      <c r="C1" s="21" t="s">
        <v>2</v>
      </c>
      <c r="D1" s="21" t="s">
        <v>3</v>
      </c>
      <c r="E1" s="21" t="s">
        <v>4</v>
      </c>
      <c r="F1" s="21" t="s">
        <v>5</v>
      </c>
      <c r="G1" s="21" t="s">
        <v>6</v>
      </c>
      <c r="H1" s="35">
        <v>0.79497899999999999</v>
      </c>
    </row>
    <row r="2" spans="1:8">
      <c r="A2" s="24">
        <v>44197</v>
      </c>
      <c r="B2" s="23">
        <v>118965</v>
      </c>
      <c r="C2" s="32">
        <f>B2</f>
        <v>118965</v>
      </c>
      <c r="D2" s="32"/>
      <c r="E2" s="32"/>
      <c r="F2" s="34"/>
      <c r="G2" s="34"/>
      <c r="H2" s="35">
        <v>4.4857000000000001E-2</v>
      </c>
    </row>
    <row r="3" spans="1:8">
      <c r="A3" s="24">
        <v>44228</v>
      </c>
      <c r="B3" s="23">
        <v>71105</v>
      </c>
      <c r="C3" s="33">
        <f>$H$1*B3+(1-$H$1)*C2</f>
        <v>80917.305059999999</v>
      </c>
      <c r="D3" s="33">
        <v>0</v>
      </c>
      <c r="E3" s="32"/>
      <c r="F3" s="34"/>
      <c r="G3" s="34"/>
    </row>
    <row r="4" spans="1:8">
      <c r="A4" s="24">
        <v>44256</v>
      </c>
      <c r="B4" s="23">
        <v>116888</v>
      </c>
      <c r="C4" s="33">
        <f t="shared" ref="C4:C37" si="0">$H$1*B4+(1-$H$1)*(C3+D3)</f>
        <v>109513.25215270625</v>
      </c>
      <c r="D4" s="33">
        <f t="shared" ref="D4:D37" si="1">$H$2*(C4-C3)+(1-$H$2)*D3</f>
        <v>1282.7283987375242</v>
      </c>
      <c r="E4" s="32">
        <f t="shared" ref="E4:E38" si="2">C3+D3</f>
        <v>80917.305059999999</v>
      </c>
      <c r="F4" s="34">
        <f t="shared" ref="F4:F37" si="3">B4-E4</f>
        <v>35970.694940000001</v>
      </c>
      <c r="G4" s="34">
        <f t="shared" ref="G4:G37" si="4">ABS(F4)/B4*100</f>
        <v>30.773642238724253</v>
      </c>
    </row>
    <row r="5" spans="1:8">
      <c r="A5" s="24">
        <v>44287</v>
      </c>
      <c r="B5" s="23">
        <v>142344</v>
      </c>
      <c r="C5" s="33">
        <f t="shared" si="0"/>
        <v>135875.99350463756</v>
      </c>
      <c r="D5" s="33">
        <f t="shared" si="1"/>
        <v>2407.742539778938</v>
      </c>
      <c r="E5" s="32">
        <f t="shared" si="2"/>
        <v>110795.98055144378</v>
      </c>
      <c r="F5" s="34">
        <f t="shared" si="3"/>
        <v>31548.019448556224</v>
      </c>
      <c r="G5" s="34">
        <f t="shared" si="4"/>
        <v>22.163223914289485</v>
      </c>
    </row>
    <row r="6" spans="1:8">
      <c r="A6" s="24">
        <v>44317</v>
      </c>
      <c r="B6" s="23">
        <v>121441</v>
      </c>
      <c r="C6" s="33">
        <f t="shared" si="0"/>
        <v>124894.11458656233</v>
      </c>
      <c r="D6" s="33">
        <f t="shared" si="1"/>
        <v>1807.1242900439731</v>
      </c>
      <c r="E6" s="32">
        <f t="shared" si="2"/>
        <v>138283.7360444165</v>
      </c>
      <c r="F6" s="34">
        <f t="shared" si="3"/>
        <v>-16842.736044416495</v>
      </c>
      <c r="G6" s="34">
        <f t="shared" si="4"/>
        <v>13.869068967166356</v>
      </c>
    </row>
    <row r="7" spans="1:8">
      <c r="A7" s="24">
        <v>44348</v>
      </c>
      <c r="B7" s="23">
        <v>225671</v>
      </c>
      <c r="C7" s="33">
        <f t="shared" si="0"/>
        <v>205380.12060472072</v>
      </c>
      <c r="D7" s="33">
        <f t="shared" si="1"/>
        <v>5336.4228877220012</v>
      </c>
      <c r="E7" s="32">
        <f t="shared" si="2"/>
        <v>126701.23887660629</v>
      </c>
      <c r="F7" s="34">
        <f t="shared" si="3"/>
        <v>98969.761123393706</v>
      </c>
      <c r="G7" s="34">
        <f t="shared" si="4"/>
        <v>43.855772838953037</v>
      </c>
    </row>
    <row r="8" spans="1:8">
      <c r="A8" s="24">
        <v>44378</v>
      </c>
      <c r="B8" s="23">
        <v>49999</v>
      </c>
      <c r="C8" s="33">
        <f t="shared" si="0"/>
        <v>82949.471484364098</v>
      </c>
      <c r="D8" s="33">
        <f t="shared" si="1"/>
        <v>-394.82466134438164</v>
      </c>
      <c r="E8" s="32">
        <f t="shared" si="2"/>
        <v>210716.54349244272</v>
      </c>
      <c r="F8" s="34">
        <f t="shared" si="3"/>
        <v>-160717.54349244272</v>
      </c>
      <c r="G8" s="34">
        <f t="shared" si="4"/>
        <v>321.44151581520174</v>
      </c>
    </row>
    <row r="9" spans="1:8">
      <c r="A9" s="24">
        <v>44409</v>
      </c>
      <c r="B9" s="23">
        <v>47409</v>
      </c>
      <c r="C9" s="33">
        <f t="shared" si="0"/>
        <v>54614.595657302329</v>
      </c>
      <c r="D9" s="33">
        <f t="shared" si="1"/>
        <v>-1648.1315364849665</v>
      </c>
      <c r="E9" s="32">
        <f t="shared" si="2"/>
        <v>82554.646823019721</v>
      </c>
      <c r="F9" s="34">
        <f t="shared" si="3"/>
        <v>-35145.646823019721</v>
      </c>
      <c r="G9" s="34">
        <f t="shared" si="4"/>
        <v>74.132858366596466</v>
      </c>
    </row>
    <row r="10" spans="1:8">
      <c r="A10" s="24">
        <v>44440</v>
      </c>
      <c r="B10" s="23">
        <v>113912</v>
      </c>
      <c r="C10" s="33">
        <f t="shared" si="0"/>
        <v>101416.8852885141</v>
      </c>
      <c r="D10" s="33">
        <f t="shared" si="1"/>
        <v>525.20900583440607</v>
      </c>
      <c r="E10" s="32">
        <f t="shared" si="2"/>
        <v>52966.464120817363</v>
      </c>
      <c r="F10" s="34">
        <f t="shared" si="3"/>
        <v>60945.535879182637</v>
      </c>
      <c r="G10" s="34">
        <f t="shared" si="4"/>
        <v>53.502296403524326</v>
      </c>
    </row>
    <row r="11" spans="1:8">
      <c r="A11" s="24">
        <v>44470</v>
      </c>
      <c r="B11" s="23">
        <v>224887</v>
      </c>
      <c r="C11" s="33">
        <f t="shared" si="0"/>
        <v>199680.71248732164</v>
      </c>
      <c r="D11" s="33">
        <f t="shared" si="1"/>
        <v>4909.4702021166022</v>
      </c>
      <c r="E11" s="32">
        <f t="shared" si="2"/>
        <v>101942.0942943485</v>
      </c>
      <c r="F11" s="34">
        <f t="shared" si="3"/>
        <v>122944.9057056515</v>
      </c>
      <c r="G11" s="34">
        <f t="shared" si="4"/>
        <v>54.669636620014273</v>
      </c>
    </row>
    <row r="12" spans="1:8">
      <c r="A12" s="24">
        <v>44501</v>
      </c>
      <c r="B12" s="23">
        <v>274179</v>
      </c>
      <c r="C12" s="33">
        <f t="shared" si="0"/>
        <v>259911.83108617133</v>
      </c>
      <c r="D12" s="33">
        <f t="shared" si="1"/>
        <v>7391.0333842488581</v>
      </c>
      <c r="E12" s="32">
        <f t="shared" si="2"/>
        <v>204590.18268943825</v>
      </c>
      <c r="F12" s="34">
        <f t="shared" si="3"/>
        <v>69588.817310561746</v>
      </c>
      <c r="G12" s="34">
        <f t="shared" si="4"/>
        <v>25.38079769441195</v>
      </c>
    </row>
    <row r="13" spans="1:8">
      <c r="A13" s="24">
        <v>44531</v>
      </c>
      <c r="B13" s="23">
        <v>318264</v>
      </c>
      <c r="C13" s="33">
        <f t="shared" si="0"/>
        <v>307815.89703259</v>
      </c>
      <c r="D13" s="33">
        <f t="shared" si="1"/>
        <v>9208.3264858901093</v>
      </c>
      <c r="E13" s="32">
        <f t="shared" si="2"/>
        <v>267302.86447042017</v>
      </c>
      <c r="F13" s="34">
        <f t="shared" si="3"/>
        <v>50961.135529579828</v>
      </c>
      <c r="G13" s="34">
        <f t="shared" si="4"/>
        <v>16.012221152747351</v>
      </c>
    </row>
    <row r="14" spans="1:8">
      <c r="A14" s="24">
        <v>44562</v>
      </c>
      <c r="B14" s="23">
        <v>317662</v>
      </c>
      <c r="C14" s="33">
        <f t="shared" si="0"/>
        <v>317531.24242798227</v>
      </c>
      <c r="D14" s="33">
        <f t="shared" si="1"/>
        <v>9231.0698331136464</v>
      </c>
      <c r="E14" s="32">
        <f t="shared" si="2"/>
        <v>317024.22351848008</v>
      </c>
      <c r="F14" s="34">
        <f t="shared" si="3"/>
        <v>637.77648151991889</v>
      </c>
      <c r="G14" s="34">
        <f t="shared" si="4"/>
        <v>0.20077204120099945</v>
      </c>
    </row>
    <row r="15" spans="1:8">
      <c r="A15" s="24">
        <v>44593</v>
      </c>
      <c r="B15" s="23">
        <v>191034</v>
      </c>
      <c r="C15" s="33">
        <f t="shared" si="0"/>
        <v>218861.15430808216</v>
      </c>
      <c r="D15" s="33">
        <f t="shared" si="1"/>
        <v>4390.9475908153081</v>
      </c>
      <c r="E15" s="32">
        <f t="shared" si="2"/>
        <v>326762.31226109591</v>
      </c>
      <c r="F15" s="34">
        <f t="shared" si="3"/>
        <v>-135728.31226109591</v>
      </c>
      <c r="G15" s="34">
        <f t="shared" si="4"/>
        <v>71.049296073524033</v>
      </c>
    </row>
    <row r="16" spans="1:8">
      <c r="A16" s="24">
        <v>44621</v>
      </c>
      <c r="B16" s="23">
        <v>290652</v>
      </c>
      <c r="C16" s="33">
        <f t="shared" si="0"/>
        <v>276833.60549141385</v>
      </c>
      <c r="D16" s="33">
        <f t="shared" si="1"/>
        <v>6794.4530974648151</v>
      </c>
      <c r="E16" s="32">
        <f t="shared" si="2"/>
        <v>223252.10189889747</v>
      </c>
      <c r="F16" s="34">
        <f t="shared" si="3"/>
        <v>67399.898101102532</v>
      </c>
      <c r="G16" s="34">
        <f t="shared" si="4"/>
        <v>23.189208435208609</v>
      </c>
    </row>
    <row r="17" spans="1:7">
      <c r="A17" s="24">
        <v>44652</v>
      </c>
      <c r="B17" s="23">
        <v>224687</v>
      </c>
      <c r="C17" s="33">
        <f t="shared" si="0"/>
        <v>236771.15477295048</v>
      </c>
      <c r="D17" s="33">
        <f t="shared" si="1"/>
        <v>4692.5929629937245</v>
      </c>
      <c r="E17" s="32">
        <f t="shared" si="2"/>
        <v>283628.05858887866</v>
      </c>
      <c r="F17" s="34">
        <f t="shared" si="3"/>
        <v>-58941.058588878659</v>
      </c>
      <c r="G17" s="34">
        <f t="shared" si="4"/>
        <v>26.232518387302626</v>
      </c>
    </row>
    <row r="18" spans="1:7">
      <c r="A18" s="24">
        <v>44682</v>
      </c>
      <c r="B18" s="23">
        <v>395423</v>
      </c>
      <c r="C18" s="33">
        <f t="shared" si="0"/>
        <v>363858.12014157104</v>
      </c>
      <c r="D18" s="33">
        <f t="shared" si="1"/>
        <v>10182.837325992927</v>
      </c>
      <c r="E18" s="32">
        <f t="shared" si="2"/>
        <v>241463.7477359442</v>
      </c>
      <c r="F18" s="34">
        <f t="shared" si="3"/>
        <v>153959.2522640558</v>
      </c>
      <c r="G18" s="34">
        <f t="shared" si="4"/>
        <v>38.935330586247083</v>
      </c>
    </row>
    <row r="19" spans="1:7">
      <c r="A19" s="24">
        <v>44713</v>
      </c>
      <c r="B19" s="23">
        <v>362418</v>
      </c>
      <c r="C19" s="33">
        <f t="shared" si="0"/>
        <v>364800.95036295743</v>
      </c>
      <c r="D19" s="33">
        <f t="shared" si="1"/>
        <v>9768.3583273015902</v>
      </c>
      <c r="E19" s="32">
        <f t="shared" si="2"/>
        <v>374040.95746756397</v>
      </c>
      <c r="F19" s="34">
        <f t="shared" si="3"/>
        <v>-11622.957467563974</v>
      </c>
      <c r="G19" s="34">
        <f t="shared" si="4"/>
        <v>3.2070585532627995</v>
      </c>
    </row>
    <row r="20" spans="1:7">
      <c r="A20" s="24">
        <v>44743</v>
      </c>
      <c r="B20" s="23">
        <v>408296</v>
      </c>
      <c r="C20" s="33">
        <f t="shared" si="0"/>
        <v>401381.32002098556</v>
      </c>
      <c r="D20" s="33">
        <f t="shared" si="1"/>
        <v>10971.06471956399</v>
      </c>
      <c r="E20" s="32">
        <f t="shared" si="2"/>
        <v>374569.308690259</v>
      </c>
      <c r="F20" s="34">
        <f t="shared" si="3"/>
        <v>33726.691309741</v>
      </c>
      <c r="G20" s="34">
        <f t="shared" si="4"/>
        <v>8.2603531040571063</v>
      </c>
    </row>
    <row r="21" spans="1:7">
      <c r="A21" s="24">
        <v>44774</v>
      </c>
      <c r="B21" s="23">
        <v>341349</v>
      </c>
      <c r="C21" s="33">
        <f t="shared" si="0"/>
        <v>355906.18494289223</v>
      </c>
      <c r="D21" s="33">
        <f t="shared" si="1"/>
        <v>8439.0575352404758</v>
      </c>
      <c r="E21" s="32">
        <f t="shared" si="2"/>
        <v>412352.38474054955</v>
      </c>
      <c r="F21" s="34">
        <f t="shared" si="3"/>
        <v>-71003.384740549547</v>
      </c>
      <c r="G21" s="34">
        <f t="shared" si="4"/>
        <v>20.800818148156154</v>
      </c>
    </row>
    <row r="22" spans="1:7">
      <c r="A22" s="24">
        <v>44805</v>
      </c>
      <c r="B22" s="23">
        <v>299634</v>
      </c>
      <c r="C22" s="33">
        <f t="shared" si="0"/>
        <v>312901.16364410927</v>
      </c>
      <c r="D22" s="33">
        <f t="shared" si="1"/>
        <v>6131.430490982686</v>
      </c>
      <c r="E22" s="32">
        <f t="shared" si="2"/>
        <v>364345.24247813271</v>
      </c>
      <c r="F22" s="34">
        <f t="shared" si="3"/>
        <v>-64711.242478132714</v>
      </c>
      <c r="G22" s="34">
        <f t="shared" si="4"/>
        <v>21.596762209272885</v>
      </c>
    </row>
    <row r="23" spans="1:7">
      <c r="A23" s="24">
        <v>44835</v>
      </c>
      <c r="B23" s="23">
        <v>341780</v>
      </c>
      <c r="C23" s="33">
        <f t="shared" si="0"/>
        <v>337116.30410217063</v>
      </c>
      <c r="D23" s="33">
        <f t="shared" si="1"/>
        <v>6942.6114689759333</v>
      </c>
      <c r="E23" s="32">
        <f t="shared" si="2"/>
        <v>319032.59413509193</v>
      </c>
      <c r="F23" s="34">
        <f t="shared" si="3"/>
        <v>22747.405864908069</v>
      </c>
      <c r="G23" s="34">
        <f t="shared" si="4"/>
        <v>6.6555696251705969</v>
      </c>
    </row>
    <row r="24" spans="1:7">
      <c r="A24" s="24">
        <v>44866</v>
      </c>
      <c r="B24" s="23">
        <v>317266</v>
      </c>
      <c r="C24" s="33">
        <f t="shared" si="0"/>
        <v>322759.11034331203</v>
      </c>
      <c r="D24" s="33">
        <f t="shared" si="1"/>
        <v>5987.1661058709597</v>
      </c>
      <c r="E24" s="32">
        <f t="shared" si="2"/>
        <v>344058.91557114659</v>
      </c>
      <c r="F24" s="34">
        <f t="shared" si="3"/>
        <v>-26792.915571146586</v>
      </c>
      <c r="G24" s="34">
        <f t="shared" si="4"/>
        <v>8.4449375511862552</v>
      </c>
    </row>
    <row r="25" spans="1:7">
      <c r="A25" s="24">
        <v>44896</v>
      </c>
      <c r="B25" s="23">
        <v>388008</v>
      </c>
      <c r="C25" s="33">
        <f t="shared" si="0"/>
        <v>375858.10217588797</v>
      </c>
      <c r="D25" s="33">
        <f t="shared" si="1"/>
        <v>8100.4612724937642</v>
      </c>
      <c r="E25" s="32">
        <f t="shared" si="2"/>
        <v>328746.276449183</v>
      </c>
      <c r="F25" s="34">
        <f t="shared" si="3"/>
        <v>59261.723550816998</v>
      </c>
      <c r="G25" s="34">
        <f t="shared" si="4"/>
        <v>15.273325176495586</v>
      </c>
    </row>
    <row r="26" spans="1:7">
      <c r="A26" s="24">
        <v>44927</v>
      </c>
      <c r="B26" s="23">
        <v>395530</v>
      </c>
      <c r="C26" s="33">
        <f t="shared" si="0"/>
        <v>393157.61250675068</v>
      </c>
      <c r="D26" s="33">
        <f t="shared" si="1"/>
        <v>8513.1030161050203</v>
      </c>
      <c r="E26" s="32">
        <f t="shared" si="2"/>
        <v>383958.56344838173</v>
      </c>
      <c r="F26" s="34">
        <f t="shared" si="3"/>
        <v>11571.436551618273</v>
      </c>
      <c r="G26" s="34">
        <f t="shared" si="4"/>
        <v>2.9255521835558045</v>
      </c>
    </row>
    <row r="27" spans="1:7">
      <c r="A27" s="24">
        <v>44958</v>
      </c>
      <c r="B27" s="23">
        <v>299968</v>
      </c>
      <c r="C27" s="33">
        <f t="shared" si="0"/>
        <v>320819.19243921142</v>
      </c>
      <c r="D27" s="33">
        <f t="shared" si="1"/>
        <v>4886.3462451419882</v>
      </c>
      <c r="E27" s="32">
        <f t="shared" si="2"/>
        <v>401670.71552285569</v>
      </c>
      <c r="F27" s="34">
        <f t="shared" si="3"/>
        <v>-101702.71552285569</v>
      </c>
      <c r="G27" s="34">
        <f t="shared" si="4"/>
        <v>33.904521656595271</v>
      </c>
    </row>
    <row r="28" spans="1:7">
      <c r="A28" s="24">
        <v>44986</v>
      </c>
      <c r="B28" s="23">
        <v>329969</v>
      </c>
      <c r="C28" s="33">
        <f t="shared" si="0"/>
        <v>329094.90089760482</v>
      </c>
      <c r="D28" s="33">
        <f t="shared" si="1"/>
        <v>5038.3828659418068</v>
      </c>
      <c r="E28" s="32">
        <f t="shared" si="2"/>
        <v>325705.53868435341</v>
      </c>
      <c r="F28" s="34">
        <f t="shared" si="3"/>
        <v>4263.461315646593</v>
      </c>
      <c r="G28" s="34">
        <f t="shared" si="4"/>
        <v>1.2920793515895714</v>
      </c>
    </row>
    <row r="29" spans="1:7">
      <c r="A29" s="24">
        <v>45017</v>
      </c>
      <c r="B29" s="23">
        <v>332329</v>
      </c>
      <c r="C29" s="33">
        <f t="shared" si="0"/>
        <v>332698.91606148612</v>
      </c>
      <c r="D29" s="33">
        <f t="shared" si="1"/>
        <v>4974.041433930478</v>
      </c>
      <c r="E29" s="32">
        <f t="shared" si="2"/>
        <v>334133.28376354661</v>
      </c>
      <c r="F29" s="34">
        <f t="shared" si="3"/>
        <v>-1804.283763546613</v>
      </c>
      <c r="G29" s="34">
        <f t="shared" si="4"/>
        <v>0.54292094988599038</v>
      </c>
    </row>
    <row r="30" spans="1:7">
      <c r="A30" s="24">
        <v>45047</v>
      </c>
      <c r="B30" s="23">
        <v>380661</v>
      </c>
      <c r="C30" s="33">
        <f t="shared" si="0"/>
        <v>371847.54853766784</v>
      </c>
      <c r="D30" s="33">
        <f t="shared" si="1"/>
        <v>6507.0110643127427</v>
      </c>
      <c r="E30" s="32">
        <f t="shared" si="2"/>
        <v>337672.95749541657</v>
      </c>
      <c r="F30" s="34">
        <f t="shared" si="3"/>
        <v>42988.042504583427</v>
      </c>
      <c r="G30" s="34">
        <f t="shared" si="4"/>
        <v>11.292998889979122</v>
      </c>
    </row>
    <row r="31" spans="1:7">
      <c r="A31" s="24">
        <v>45078</v>
      </c>
      <c r="B31" s="23">
        <v>423745</v>
      </c>
      <c r="C31" s="33">
        <f t="shared" si="0"/>
        <v>414439.00651915767</v>
      </c>
      <c r="D31" s="33">
        <f t="shared" si="1"/>
        <v>8125.6510996765555</v>
      </c>
      <c r="E31" s="32">
        <f t="shared" si="2"/>
        <v>378354.55960198061</v>
      </c>
      <c r="F31" s="34">
        <f t="shared" si="3"/>
        <v>45390.440398019389</v>
      </c>
      <c r="G31" s="34">
        <f t="shared" si="4"/>
        <v>10.711734745665291</v>
      </c>
    </row>
    <row r="32" spans="1:7">
      <c r="A32" s="24">
        <v>45108</v>
      </c>
      <c r="B32" s="23">
        <v>489801</v>
      </c>
      <c r="C32" s="33">
        <f t="shared" si="0"/>
        <v>476016.137848671</v>
      </c>
      <c r="D32" s="33">
        <f t="shared" si="1"/>
        <v>10523.324148346343</v>
      </c>
      <c r="E32" s="32">
        <f t="shared" si="2"/>
        <v>422564.65761883423</v>
      </c>
      <c r="F32" s="34">
        <f t="shared" si="3"/>
        <v>67236.34238116577</v>
      </c>
      <c r="G32" s="34">
        <f t="shared" si="4"/>
        <v>13.727277482317465</v>
      </c>
    </row>
    <row r="33" spans="1:7">
      <c r="A33" s="24">
        <v>45139</v>
      </c>
      <c r="B33" s="23">
        <v>427258</v>
      </c>
      <c r="C33" s="33">
        <f t="shared" si="0"/>
        <v>439411.94462009048</v>
      </c>
      <c r="D33" s="33">
        <f t="shared" si="1"/>
        <v>8409.3251013695335</v>
      </c>
      <c r="E33" s="32">
        <f t="shared" si="2"/>
        <v>486539.46199701732</v>
      </c>
      <c r="F33" s="34">
        <f t="shared" si="3"/>
        <v>-59281.461997017323</v>
      </c>
      <c r="G33" s="34">
        <f t="shared" si="4"/>
        <v>13.874862962663617</v>
      </c>
    </row>
    <row r="34" spans="1:7">
      <c r="A34" s="24">
        <v>45170</v>
      </c>
      <c r="B34" s="23">
        <v>389220</v>
      </c>
      <c r="C34" s="33">
        <f t="shared" si="0"/>
        <v>401234.49091956345</v>
      </c>
      <c r="D34" s="33">
        <f t="shared" si="1"/>
        <v>6319.5819646528598</v>
      </c>
      <c r="E34" s="32">
        <f t="shared" si="2"/>
        <v>447821.26972146</v>
      </c>
      <c r="F34" s="34">
        <f t="shared" si="3"/>
        <v>-58601.269721460005</v>
      </c>
      <c r="G34" s="34">
        <f t="shared" si="4"/>
        <v>15.05607875275166</v>
      </c>
    </row>
    <row r="35" spans="1:7">
      <c r="A35" s="24">
        <v>45200</v>
      </c>
      <c r="B35" s="23">
        <v>435834</v>
      </c>
      <c r="C35" s="33">
        <f t="shared" si="0"/>
        <v>430036.02106279496</v>
      </c>
      <c r="D35" s="33">
        <f t="shared" si="1"/>
        <v>7328.0547140993622</v>
      </c>
      <c r="E35" s="32">
        <f t="shared" si="2"/>
        <v>407554.07288421632</v>
      </c>
      <c r="F35" s="34">
        <f t="shared" si="3"/>
        <v>28279.927115783677</v>
      </c>
      <c r="G35" s="34">
        <f t="shared" si="4"/>
        <v>6.4886922809564371</v>
      </c>
    </row>
    <row r="36" spans="1:7">
      <c r="A36" s="24">
        <v>45231</v>
      </c>
      <c r="B36" s="23">
        <v>386832</v>
      </c>
      <c r="C36" s="33">
        <f t="shared" si="0"/>
        <v>397192.13670785469</v>
      </c>
      <c r="D36" s="33">
        <f t="shared" si="1"/>
        <v>5526.0620432794512</v>
      </c>
      <c r="E36" s="32">
        <f t="shared" si="2"/>
        <v>437364.07577689434</v>
      </c>
      <c r="F36" s="34">
        <f t="shared" si="3"/>
        <v>-50532.075776894344</v>
      </c>
      <c r="G36" s="34">
        <f t="shared" si="4"/>
        <v>13.063054705116006</v>
      </c>
    </row>
    <row r="37" spans="1:7">
      <c r="A37" s="24">
        <v>45261</v>
      </c>
      <c r="B37" s="23">
        <v>429996</v>
      </c>
      <c r="C37" s="33">
        <f t="shared" si="0"/>
        <v>424403.47791015625</v>
      </c>
      <c r="D37" s="33">
        <f t="shared" si="1"/>
        <v>6498.7986105157051</v>
      </c>
      <c r="E37" s="32">
        <f t="shared" si="2"/>
        <v>402718.19875113416</v>
      </c>
      <c r="F37" s="34">
        <f t="shared" si="3"/>
        <v>27277.801248865842</v>
      </c>
      <c r="G37" s="34">
        <f t="shared" si="4"/>
        <v>6.3437337205150381</v>
      </c>
    </row>
    <row r="38" spans="1:7">
      <c r="A38" s="30">
        <v>45292</v>
      </c>
      <c r="E38" s="37">
        <f t="shared" si="2"/>
        <v>430902.27652067196</v>
      </c>
    </row>
    <row r="39" spans="1:7">
      <c r="C39" s="14"/>
      <c r="D39" s="14"/>
      <c r="E39" s="14"/>
      <c r="F39" s="36" t="s">
        <v>7</v>
      </c>
      <c r="G39" s="36">
        <f>AVERAGE(G4:G37)</f>
        <v>30.260896811303102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58"/>
  <sheetViews>
    <sheetView zoomScale="70" zoomScaleNormal="70" workbookViewId="0">
      <selection sqref="A1:B38"/>
    </sheetView>
  </sheetViews>
  <sheetFormatPr defaultRowHeight="15"/>
  <cols>
    <col min="1" max="1" width="8.5703125" bestFit="1" customWidth="1"/>
    <col min="2" max="2" width="16.42578125" customWidth="1"/>
    <col min="3" max="3" width="18.7109375" customWidth="1"/>
    <col min="4" max="4" width="16.5703125" customWidth="1"/>
    <col min="5" max="5" width="14.85546875" customWidth="1"/>
    <col min="6" max="6" width="30.140625" customWidth="1"/>
    <col min="7" max="12" width="11.42578125" bestFit="1" customWidth="1"/>
    <col min="13" max="13" width="13.85546875" bestFit="1" customWidth="1"/>
    <col min="14" max="14" width="14.140625" bestFit="1" customWidth="1"/>
    <col min="15" max="17" width="13.85546875" bestFit="1" customWidth="1"/>
    <col min="18" max="18" width="11.42578125" bestFit="1" customWidth="1"/>
    <col min="19" max="19" width="13.85546875" bestFit="1" customWidth="1"/>
    <col min="22" max="25" width="11.42578125" bestFit="1" customWidth="1"/>
    <col min="26" max="26" width="13.85546875" bestFit="1" customWidth="1"/>
    <col min="39" max="39" width="9.85546875" bestFit="1" customWidth="1"/>
  </cols>
  <sheetData>
    <row r="1" spans="1:39" ht="16.5" customHeight="1" thickBot="1">
      <c r="A1" s="21" t="s">
        <v>0</v>
      </c>
      <c r="B1" s="21" t="s">
        <v>1</v>
      </c>
      <c r="C1" s="21" t="s">
        <v>4</v>
      </c>
      <c r="D1" s="27" t="s">
        <v>8</v>
      </c>
      <c r="E1" s="22" t="s">
        <v>9</v>
      </c>
      <c r="F1" s="22">
        <v>0.60646100000000003</v>
      </c>
      <c r="N1" s="16" t="s">
        <v>10</v>
      </c>
      <c r="O1" s="16">
        <v>2021</v>
      </c>
      <c r="P1" s="16">
        <v>2022</v>
      </c>
      <c r="Q1" s="16">
        <v>2023</v>
      </c>
    </row>
    <row r="2" spans="1:39" ht="18" customHeight="1">
      <c r="A2" s="24">
        <v>44197</v>
      </c>
      <c r="B2" s="23">
        <v>118965</v>
      </c>
      <c r="C2" s="25">
        <f>B2</f>
        <v>118965</v>
      </c>
      <c r="D2" s="10"/>
      <c r="E2" s="10"/>
      <c r="F2" s="10"/>
      <c r="G2" s="10"/>
      <c r="H2" s="10"/>
      <c r="I2" s="10"/>
      <c r="J2" s="10"/>
      <c r="K2" s="10"/>
      <c r="L2" s="10"/>
      <c r="M2" s="10"/>
      <c r="N2" s="13" t="s">
        <v>11</v>
      </c>
      <c r="O2" s="15">
        <v>118965</v>
      </c>
      <c r="P2" s="15">
        <v>317662</v>
      </c>
      <c r="Q2" s="15">
        <v>395530</v>
      </c>
      <c r="R2" s="10"/>
      <c r="S2" s="10"/>
      <c r="T2" s="10"/>
      <c r="U2" s="10"/>
      <c r="V2" s="10"/>
      <c r="W2" s="10"/>
      <c r="X2" s="10"/>
      <c r="Y2" s="10"/>
      <c r="Z2" s="10"/>
      <c r="AA2" s="10"/>
      <c r="AB2" s="10"/>
      <c r="AC2" s="10"/>
      <c r="AD2" s="10"/>
      <c r="AE2" s="10"/>
      <c r="AF2" s="10"/>
      <c r="AG2" s="11"/>
      <c r="AH2" s="11"/>
      <c r="AI2" s="11"/>
      <c r="AJ2" s="10"/>
      <c r="AK2" s="10"/>
      <c r="AL2" s="11"/>
      <c r="AM2" s="12"/>
    </row>
    <row r="3" spans="1:39" ht="18" customHeight="1">
      <c r="A3" s="24">
        <v>44228</v>
      </c>
      <c r="B3" s="23">
        <v>71105</v>
      </c>
      <c r="C3" s="26">
        <f t="shared" ref="C3:C38" si="0">$F$1*B2+(1-$F$1)*C2</f>
        <v>118965</v>
      </c>
      <c r="D3" s="28">
        <f t="shared" ref="D3:D37" si="1">B3-C3</f>
        <v>-47860</v>
      </c>
      <c r="N3" s="13" t="s">
        <v>12</v>
      </c>
      <c r="O3" s="15">
        <v>71105</v>
      </c>
      <c r="P3" s="15">
        <v>191034</v>
      </c>
      <c r="Q3" s="15">
        <v>299968</v>
      </c>
    </row>
    <row r="4" spans="1:39" ht="18" customHeight="1">
      <c r="A4" s="24">
        <v>44256</v>
      </c>
      <c r="B4" s="23">
        <v>116888</v>
      </c>
      <c r="C4" s="26">
        <f t="shared" si="0"/>
        <v>89939.776539999992</v>
      </c>
      <c r="D4" s="28">
        <f t="shared" si="1"/>
        <v>26948.223460000008</v>
      </c>
      <c r="N4" s="13" t="s">
        <v>13</v>
      </c>
      <c r="O4" s="15">
        <v>116888</v>
      </c>
      <c r="P4" s="15">
        <v>290652</v>
      </c>
      <c r="Q4" s="15">
        <v>329969</v>
      </c>
    </row>
    <row r="5" spans="1:39" ht="18" customHeight="1">
      <c r="A5" s="24">
        <v>44287</v>
      </c>
      <c r="B5" s="23">
        <v>142344</v>
      </c>
      <c r="C5" s="26">
        <f t="shared" si="0"/>
        <v>106282.82308777506</v>
      </c>
      <c r="D5" s="28">
        <f t="shared" si="1"/>
        <v>36061.176912224939</v>
      </c>
      <c r="N5" s="13" t="s">
        <v>14</v>
      </c>
      <c r="O5" s="15">
        <v>142344</v>
      </c>
      <c r="P5" s="15">
        <v>224687</v>
      </c>
      <c r="Q5" s="15">
        <v>332329</v>
      </c>
    </row>
    <row r="6" spans="1:39" ht="18" customHeight="1">
      <c r="A6" s="24">
        <v>44317</v>
      </c>
      <c r="B6" s="23">
        <v>121441</v>
      </c>
      <c r="C6" s="26">
        <f t="shared" si="0"/>
        <v>128152.52049913991</v>
      </c>
      <c r="D6" s="28">
        <f t="shared" si="1"/>
        <v>-6711.5204991399078</v>
      </c>
      <c r="N6" s="13" t="s">
        <v>15</v>
      </c>
      <c r="O6" s="15">
        <v>121441</v>
      </c>
      <c r="P6" s="15">
        <v>395423</v>
      </c>
      <c r="Q6" s="15">
        <v>380661</v>
      </c>
    </row>
    <row r="7" spans="1:39" ht="18" customHeight="1">
      <c r="A7" s="24">
        <v>44348</v>
      </c>
      <c r="B7" s="23">
        <v>225671</v>
      </c>
      <c r="C7" s="26">
        <f t="shared" si="0"/>
        <v>124082.24506571102</v>
      </c>
      <c r="D7" s="28">
        <f t="shared" si="1"/>
        <v>101588.75493428898</v>
      </c>
      <c r="N7" s="13" t="s">
        <v>16</v>
      </c>
      <c r="O7" s="15">
        <v>225671</v>
      </c>
      <c r="P7" s="15">
        <v>362418</v>
      </c>
      <c r="Q7" s="15">
        <v>423745</v>
      </c>
    </row>
    <row r="8" spans="1:39" ht="18" customHeight="1">
      <c r="A8" s="24">
        <v>44378</v>
      </c>
      <c r="B8" s="23">
        <v>49999</v>
      </c>
      <c r="C8" s="26">
        <f t="shared" si="0"/>
        <v>185691.86297191484</v>
      </c>
      <c r="D8" s="28">
        <f t="shared" si="1"/>
        <v>-135692.86297191484</v>
      </c>
      <c r="N8" s="13" t="s">
        <v>17</v>
      </c>
      <c r="O8" s="15">
        <v>49999</v>
      </c>
      <c r="P8" s="15">
        <v>408296</v>
      </c>
      <c r="Q8" s="15">
        <v>489801</v>
      </c>
    </row>
    <row r="9" spans="1:39" ht="18" customHeight="1">
      <c r="A9" s="24">
        <v>44409</v>
      </c>
      <c r="B9" s="23">
        <v>47409</v>
      </c>
      <c r="C9" s="26">
        <f t="shared" si="0"/>
        <v>103399.43360110439</v>
      </c>
      <c r="D9" s="28">
        <f t="shared" si="1"/>
        <v>-55990.433601104392</v>
      </c>
      <c r="N9" s="13" t="s">
        <v>18</v>
      </c>
      <c r="O9" s="15">
        <v>47409</v>
      </c>
      <c r="P9" s="15">
        <v>341349</v>
      </c>
      <c r="Q9" s="15">
        <v>427258</v>
      </c>
    </row>
    <row r="10" spans="1:39" ht="18" customHeight="1">
      <c r="A10" s="24">
        <v>44440</v>
      </c>
      <c r="B10" s="23">
        <v>113912</v>
      </c>
      <c r="C10" s="26">
        <f t="shared" si="0"/>
        <v>69443.419248945022</v>
      </c>
      <c r="D10" s="28">
        <f t="shared" si="1"/>
        <v>44468.580751054978</v>
      </c>
      <c r="N10" s="13" t="s">
        <v>19</v>
      </c>
      <c r="O10" s="15">
        <v>113912</v>
      </c>
      <c r="P10" s="15">
        <v>299634</v>
      </c>
      <c r="Q10" s="15">
        <v>389220</v>
      </c>
    </row>
    <row r="11" spans="1:39" ht="18" customHeight="1">
      <c r="A11" s="24">
        <v>44470</v>
      </c>
      <c r="B11" s="23">
        <v>224887</v>
      </c>
      <c r="C11" s="26">
        <f t="shared" si="0"/>
        <v>96411.879199810573</v>
      </c>
      <c r="D11" s="28">
        <f t="shared" si="1"/>
        <v>128475.12080018943</v>
      </c>
      <c r="N11" s="13" t="s">
        <v>20</v>
      </c>
      <c r="O11" s="15">
        <v>224887</v>
      </c>
      <c r="P11" s="15">
        <v>341780</v>
      </c>
      <c r="Q11" s="15">
        <v>435834</v>
      </c>
    </row>
    <row r="12" spans="1:39" ht="18" customHeight="1">
      <c r="A12" s="24">
        <v>44501</v>
      </c>
      <c r="B12" s="23">
        <v>274179</v>
      </c>
      <c r="C12" s="26">
        <f t="shared" si="0"/>
        <v>174327.02943541424</v>
      </c>
      <c r="D12" s="28">
        <f t="shared" si="1"/>
        <v>99851.970564585761</v>
      </c>
      <c r="N12" s="13" t="s">
        <v>21</v>
      </c>
      <c r="O12" s="15">
        <v>274179</v>
      </c>
      <c r="P12" s="15">
        <v>317266</v>
      </c>
      <c r="Q12" s="15">
        <v>386832</v>
      </c>
    </row>
    <row r="13" spans="1:39" ht="18" customHeight="1">
      <c r="A13" s="24">
        <v>44531</v>
      </c>
      <c r="B13" s="23">
        <v>318264</v>
      </c>
      <c r="C13" s="26">
        <f t="shared" si="0"/>
        <v>234883.35535598348</v>
      </c>
      <c r="D13" s="28">
        <f t="shared" si="1"/>
        <v>83380.644644016516</v>
      </c>
      <c r="N13" s="13" t="s">
        <v>22</v>
      </c>
      <c r="O13" s="15">
        <v>318264</v>
      </c>
      <c r="P13" s="15">
        <v>388008</v>
      </c>
      <c r="Q13" s="15">
        <v>429996</v>
      </c>
    </row>
    <row r="14" spans="1:39" ht="18" customHeight="1">
      <c r="A14" s="24">
        <v>44562</v>
      </c>
      <c r="B14" s="23">
        <v>317662</v>
      </c>
      <c r="C14" s="26">
        <f t="shared" si="0"/>
        <v>285450.46448743838</v>
      </c>
      <c r="D14" s="28">
        <f t="shared" si="1"/>
        <v>32211.535512561619</v>
      </c>
      <c r="N14" s="17" t="s">
        <v>23</v>
      </c>
      <c r="O14" s="18">
        <v>1825064</v>
      </c>
      <c r="P14" s="18">
        <v>3878209</v>
      </c>
      <c r="Q14" s="18">
        <v>4721143</v>
      </c>
    </row>
    <row r="15" spans="1:39">
      <c r="A15" s="24">
        <v>44593</v>
      </c>
      <c r="B15" s="23">
        <v>191034</v>
      </c>
      <c r="C15" s="26">
        <f t="shared" si="0"/>
        <v>304985.50452592201</v>
      </c>
      <c r="D15" s="28">
        <f t="shared" si="1"/>
        <v>-113951.50452592201</v>
      </c>
    </row>
    <row r="16" spans="1:39">
      <c r="A16" s="24">
        <v>44621</v>
      </c>
      <c r="B16" s="23">
        <v>290652</v>
      </c>
      <c r="C16" s="26">
        <f t="shared" si="0"/>
        <v>235878.36113962682</v>
      </c>
      <c r="D16" s="28">
        <f t="shared" si="1"/>
        <v>54773.638860373176</v>
      </c>
    </row>
    <row r="17" spans="1:5">
      <c r="A17" s="24">
        <v>44652</v>
      </c>
      <c r="B17" s="23">
        <v>224687</v>
      </c>
      <c r="C17" s="26">
        <f t="shared" si="0"/>
        <v>269096.43693652761</v>
      </c>
      <c r="D17" s="28">
        <f t="shared" si="1"/>
        <v>-44409.436936527607</v>
      </c>
    </row>
    <row r="18" spans="1:5">
      <c r="A18" s="24">
        <v>44682</v>
      </c>
      <c r="B18" s="23">
        <v>395423</v>
      </c>
      <c r="C18" s="26">
        <f t="shared" si="0"/>
        <v>242163.84540256413</v>
      </c>
      <c r="D18" s="28">
        <f t="shared" si="1"/>
        <v>153259.15459743587</v>
      </c>
    </row>
    <row r="19" spans="1:5">
      <c r="A19" s="24">
        <v>44713</v>
      </c>
      <c r="B19" s="23">
        <v>362418</v>
      </c>
      <c r="C19" s="26">
        <f t="shared" si="0"/>
        <v>335109.54555887968</v>
      </c>
      <c r="D19" s="28">
        <f t="shared" si="1"/>
        <v>27308.454441120324</v>
      </c>
    </row>
    <row r="20" spans="1:5">
      <c r="A20" s="24">
        <v>44743</v>
      </c>
      <c r="B20" s="23">
        <v>408296</v>
      </c>
      <c r="C20" s="26">
        <f t="shared" si="0"/>
        <v>351671.05814769596</v>
      </c>
      <c r="D20" s="28">
        <f t="shared" si="1"/>
        <v>56624.941852304037</v>
      </c>
    </row>
    <row r="21" spans="1:5">
      <c r="A21" s="24">
        <v>44774</v>
      </c>
      <c r="B21" s="23">
        <v>341349</v>
      </c>
      <c r="C21" s="26">
        <f t="shared" si="0"/>
        <v>386011.87700838613</v>
      </c>
      <c r="D21" s="28">
        <f t="shared" si="1"/>
        <v>-44662.877008386131</v>
      </c>
    </row>
    <row r="22" spans="1:5">
      <c r="A22" s="24">
        <v>44805</v>
      </c>
      <c r="B22" s="23">
        <v>299634</v>
      </c>
      <c r="C22" s="26">
        <f t="shared" si="0"/>
        <v>358925.5839550033</v>
      </c>
      <c r="D22" s="28">
        <f t="shared" si="1"/>
        <v>-59291.583955003298</v>
      </c>
    </row>
    <row r="23" spans="1:5">
      <c r="A23" s="24">
        <v>44835</v>
      </c>
      <c r="B23" s="23">
        <v>341780</v>
      </c>
      <c r="C23" s="26">
        <f t="shared" si="0"/>
        <v>322967.55065806804</v>
      </c>
      <c r="D23" s="28">
        <f t="shared" si="1"/>
        <v>18812.449341931962</v>
      </c>
    </row>
    <row r="24" spans="1:5">
      <c r="A24" s="24">
        <v>44866</v>
      </c>
      <c r="B24" s="23">
        <v>317266</v>
      </c>
      <c r="C24" s="26">
        <f t="shared" si="0"/>
        <v>334376.56749842543</v>
      </c>
      <c r="D24" s="28">
        <f t="shared" si="1"/>
        <v>-17110.567498425429</v>
      </c>
    </row>
    <row r="25" spans="1:5">
      <c r="A25" s="24">
        <v>44896</v>
      </c>
      <c r="B25" s="23">
        <v>388008</v>
      </c>
      <c r="C25" s="26">
        <f t="shared" si="0"/>
        <v>323999.67562276288</v>
      </c>
      <c r="D25" s="28">
        <f t="shared" si="1"/>
        <v>64008.324377237121</v>
      </c>
    </row>
    <row r="26" spans="1:5">
      <c r="A26" s="24">
        <v>44927</v>
      </c>
      <c r="B26" s="23">
        <v>395530</v>
      </c>
      <c r="C26" s="26">
        <f t="shared" si="0"/>
        <v>362818.22803290648</v>
      </c>
      <c r="D26" s="28">
        <f t="shared" si="1"/>
        <v>32711.771967093518</v>
      </c>
    </row>
    <row r="27" spans="1:5">
      <c r="A27" s="24">
        <v>44958</v>
      </c>
      <c r="B27" s="23">
        <v>299968</v>
      </c>
      <c r="C27" s="26">
        <f t="shared" si="0"/>
        <v>382656.64197184198</v>
      </c>
      <c r="D27" s="28">
        <f t="shared" si="1"/>
        <v>-82688.641971841978</v>
      </c>
    </row>
    <row r="28" spans="1:5">
      <c r="A28" s="24">
        <v>44986</v>
      </c>
      <c r="B28" s="23">
        <v>329969</v>
      </c>
      <c r="C28" s="26">
        <f t="shared" si="0"/>
        <v>332509.20547295676</v>
      </c>
      <c r="D28" s="28">
        <f t="shared" si="1"/>
        <v>-2540.2054729567608</v>
      </c>
    </row>
    <row r="29" spans="1:5">
      <c r="A29" s="24">
        <v>45017</v>
      </c>
      <c r="B29" s="23">
        <v>332329</v>
      </c>
      <c r="C29" s="26">
        <f t="shared" si="0"/>
        <v>330968.66992162191</v>
      </c>
      <c r="D29" s="28">
        <f t="shared" si="1"/>
        <v>1360.3300783780869</v>
      </c>
    </row>
    <row r="30" spans="1:5">
      <c r="A30" s="24">
        <v>45047</v>
      </c>
      <c r="B30" s="23">
        <v>380661</v>
      </c>
      <c r="C30" s="26">
        <f t="shared" si="0"/>
        <v>331793.65706128516</v>
      </c>
      <c r="D30" s="28">
        <f t="shared" si="1"/>
        <v>48867.342938714835</v>
      </c>
    </row>
    <row r="31" spans="1:5">
      <c r="A31" s="24">
        <v>45078</v>
      </c>
      <c r="B31" s="23">
        <v>423745</v>
      </c>
      <c r="C31" s="26">
        <f t="shared" si="0"/>
        <v>361429.7947272411</v>
      </c>
      <c r="D31" s="28">
        <f t="shared" si="1"/>
        <v>62315.205272758903</v>
      </c>
      <c r="E31" s="14"/>
    </row>
    <row r="32" spans="1:5">
      <c r="A32" s="24">
        <v>45108</v>
      </c>
      <c r="B32" s="23">
        <v>489801</v>
      </c>
      <c r="C32" s="26">
        <f t="shared" si="0"/>
        <v>399221.53643216373</v>
      </c>
      <c r="D32" s="28">
        <f t="shared" si="1"/>
        <v>90579.463567836268</v>
      </c>
    </row>
    <row r="33" spans="1:5">
      <c r="A33" s="24">
        <v>45139</v>
      </c>
      <c r="B33" s="23">
        <v>427258</v>
      </c>
      <c r="C33" s="26">
        <f t="shared" si="0"/>
        <v>454154.44848697732</v>
      </c>
      <c r="D33" s="28">
        <f t="shared" si="1"/>
        <v>-26896.448486977315</v>
      </c>
    </row>
    <row r="34" spans="1:5">
      <c r="A34" s="24">
        <v>45170</v>
      </c>
      <c r="B34" s="23">
        <v>389220</v>
      </c>
      <c r="C34" s="26">
        <f t="shared" si="0"/>
        <v>437842.80144111655</v>
      </c>
      <c r="D34" s="28">
        <f t="shared" si="1"/>
        <v>-48622.80144111655</v>
      </c>
    </row>
    <row r="35" spans="1:5">
      <c r="A35" s="24">
        <v>45200</v>
      </c>
      <c r="B35" s="23">
        <v>435834</v>
      </c>
      <c r="C35" s="26">
        <f t="shared" si="0"/>
        <v>408354.96865633555</v>
      </c>
      <c r="D35" s="28">
        <f t="shared" si="1"/>
        <v>27479.03134366445</v>
      </c>
    </row>
    <row r="36" spans="1:5">
      <c r="A36" s="24">
        <v>45231</v>
      </c>
      <c r="B36" s="23">
        <v>386832</v>
      </c>
      <c r="C36" s="26">
        <f t="shared" si="0"/>
        <v>425019.92948404566</v>
      </c>
      <c r="D36" s="28">
        <f t="shared" si="1"/>
        <v>-38187.929484045657</v>
      </c>
    </row>
    <row r="37" spans="1:5">
      <c r="A37" s="24">
        <v>45261</v>
      </c>
      <c r="B37" s="23">
        <v>429996</v>
      </c>
      <c r="C37" s="26">
        <f t="shared" si="0"/>
        <v>401860.43958122184</v>
      </c>
      <c r="D37" s="28">
        <f t="shared" si="1"/>
        <v>28135.560418778157</v>
      </c>
    </row>
    <row r="38" spans="1:5">
      <c r="A38" s="30">
        <v>45292</v>
      </c>
      <c r="C38" s="31">
        <f t="shared" si="0"/>
        <v>418923.55968835449</v>
      </c>
      <c r="E38" s="20"/>
    </row>
    <row r="40" spans="1:5">
      <c r="B40" s="29" t="s">
        <v>24</v>
      </c>
      <c r="C40">
        <f>$F$1*B2+(1-$F$1)*C2</f>
        <v>118965</v>
      </c>
    </row>
    <row r="58" spans="2:2">
      <c r="B58" s="1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9"/>
  <sheetViews>
    <sheetView workbookViewId="0">
      <selection activeCell="D24" sqref="D24"/>
    </sheetView>
  </sheetViews>
  <sheetFormatPr defaultRowHeight="15"/>
  <cols>
    <col min="1" max="1" width="4.140625" bestFit="1" customWidth="1"/>
    <col min="2" max="2" width="12" bestFit="1" customWidth="1"/>
    <col min="3" max="3" width="39.5703125" customWidth="1"/>
    <col min="4" max="4" width="56.28515625" style="5" customWidth="1"/>
  </cols>
  <sheetData>
    <row r="1" spans="1:4">
      <c r="B1" t="s">
        <v>25</v>
      </c>
      <c r="C1" s="9" t="s">
        <v>26</v>
      </c>
    </row>
    <row r="4" spans="1:4">
      <c r="A4" s="2" t="s">
        <v>27</v>
      </c>
      <c r="B4" s="2" t="s">
        <v>28</v>
      </c>
      <c r="C4" s="2" t="s">
        <v>29</v>
      </c>
      <c r="D4" s="4"/>
    </row>
    <row r="5" spans="1:4">
      <c r="A5">
        <v>1</v>
      </c>
      <c r="B5" s="1">
        <v>22083000018</v>
      </c>
      <c r="C5" s="3" t="s">
        <v>30</v>
      </c>
      <c r="D5" s="6" t="s">
        <v>31</v>
      </c>
    </row>
    <row r="6" spans="1:4">
      <c r="A6">
        <v>2</v>
      </c>
      <c r="B6" s="1">
        <v>22083000142</v>
      </c>
      <c r="C6" s="3" t="s">
        <v>32</v>
      </c>
      <c r="D6" s="6" t="s">
        <v>33</v>
      </c>
    </row>
    <row r="7" spans="1:4">
      <c r="A7">
        <v>3</v>
      </c>
      <c r="B7" s="1">
        <v>23083000020</v>
      </c>
      <c r="C7" s="3" t="s">
        <v>34</v>
      </c>
      <c r="D7" s="6" t="s">
        <v>35</v>
      </c>
    </row>
    <row r="8" spans="1:4">
      <c r="A8">
        <v>4</v>
      </c>
      <c r="B8" s="1">
        <v>23083000027</v>
      </c>
      <c r="C8" s="3" t="s">
        <v>36</v>
      </c>
      <c r="D8" s="6" t="s">
        <v>37</v>
      </c>
    </row>
    <row r="9" spans="1:4">
      <c r="A9">
        <v>5</v>
      </c>
      <c r="B9" s="1">
        <v>23083000030</v>
      </c>
      <c r="C9" s="3" t="s">
        <v>38</v>
      </c>
      <c r="D9" s="6" t="s">
        <v>39</v>
      </c>
    </row>
    <row r="10" spans="1:4">
      <c r="A10">
        <v>6</v>
      </c>
      <c r="B10" s="1">
        <v>23083000046</v>
      </c>
      <c r="C10" s="3" t="s">
        <v>40</v>
      </c>
      <c r="D10" s="6" t="s">
        <v>41</v>
      </c>
    </row>
    <row r="11" spans="1:4">
      <c r="A11">
        <v>7</v>
      </c>
      <c r="B11" s="1">
        <v>23083000047</v>
      </c>
      <c r="C11" s="3" t="s">
        <v>42</v>
      </c>
      <c r="D11" s="6" t="s">
        <v>43</v>
      </c>
    </row>
    <row r="12" spans="1:4">
      <c r="A12">
        <v>8</v>
      </c>
      <c r="B12" s="1">
        <v>23083000051</v>
      </c>
      <c r="C12" s="3" t="s">
        <v>44</v>
      </c>
      <c r="D12" s="6" t="s">
        <v>45</v>
      </c>
    </row>
    <row r="13" spans="1:4">
      <c r="A13">
        <v>9</v>
      </c>
      <c r="B13" s="1">
        <v>23083000052</v>
      </c>
      <c r="C13" s="3" t="s">
        <v>46</v>
      </c>
      <c r="D13" s="6" t="s">
        <v>47</v>
      </c>
    </row>
    <row r="14" spans="1:4">
      <c r="A14">
        <v>10</v>
      </c>
      <c r="B14" s="1">
        <v>23083000055</v>
      </c>
      <c r="C14" s="3" t="s">
        <v>48</v>
      </c>
      <c r="D14" s="6" t="s">
        <v>49</v>
      </c>
    </row>
    <row r="15" spans="1:4">
      <c r="A15">
        <v>11</v>
      </c>
      <c r="B15" s="1">
        <v>23083000060</v>
      </c>
      <c r="C15" s="3" t="s">
        <v>50</v>
      </c>
      <c r="D15" s="6" t="s">
        <v>51</v>
      </c>
    </row>
    <row r="16" spans="1:4">
      <c r="A16">
        <v>12</v>
      </c>
      <c r="B16" s="1">
        <v>23083000063</v>
      </c>
      <c r="C16" s="3" t="s">
        <v>52</v>
      </c>
      <c r="D16" s="6" t="s">
        <v>53</v>
      </c>
    </row>
    <row r="17" spans="1:4">
      <c r="A17">
        <v>13</v>
      </c>
      <c r="B17" s="1">
        <v>23083000071</v>
      </c>
      <c r="C17" s="3" t="s">
        <v>54</v>
      </c>
      <c r="D17" s="6" t="s">
        <v>55</v>
      </c>
    </row>
    <row r="18" spans="1:4">
      <c r="A18">
        <v>14</v>
      </c>
      <c r="B18" s="1">
        <v>23083000073</v>
      </c>
      <c r="C18" s="3" t="s">
        <v>56</v>
      </c>
      <c r="D18" s="6" t="s">
        <v>57</v>
      </c>
    </row>
    <row r="19" spans="1:4">
      <c r="A19">
        <v>15</v>
      </c>
      <c r="B19" s="1">
        <v>23083000075</v>
      </c>
      <c r="C19" s="3" t="s">
        <v>58</v>
      </c>
      <c r="D19" s="6" t="s">
        <v>59</v>
      </c>
    </row>
    <row r="20" spans="1:4">
      <c r="A20">
        <v>16</v>
      </c>
      <c r="B20" s="1">
        <v>23083000087</v>
      </c>
      <c r="C20" s="3" t="s">
        <v>60</v>
      </c>
      <c r="D20" s="7" t="s">
        <v>61</v>
      </c>
    </row>
    <row r="21" spans="1:4">
      <c r="A21">
        <v>17</v>
      </c>
      <c r="B21" s="1">
        <v>23083000089</v>
      </c>
      <c r="C21" s="3" t="s">
        <v>62</v>
      </c>
      <c r="D21" s="7" t="s">
        <v>63</v>
      </c>
    </row>
    <row r="22" spans="1:4">
      <c r="A22">
        <v>18</v>
      </c>
      <c r="B22" s="1">
        <v>23083000090</v>
      </c>
      <c r="C22" s="3" t="s">
        <v>64</v>
      </c>
      <c r="D22" s="7" t="s">
        <v>65</v>
      </c>
    </row>
    <row r="23" spans="1:4">
      <c r="A23">
        <v>19</v>
      </c>
      <c r="B23" s="1">
        <v>23083000092</v>
      </c>
      <c r="C23" s="3" t="s">
        <v>66</v>
      </c>
      <c r="D23" s="7" t="s">
        <v>67</v>
      </c>
    </row>
    <row r="24" spans="1:4">
      <c r="A24">
        <v>20</v>
      </c>
      <c r="B24" s="1">
        <v>23083000093</v>
      </c>
      <c r="C24" s="3" t="s">
        <v>68</v>
      </c>
      <c r="D24" s="7" t="s">
        <v>69</v>
      </c>
    </row>
    <row r="25" spans="1:4">
      <c r="A25">
        <v>21</v>
      </c>
      <c r="B25" s="1">
        <v>23083000095</v>
      </c>
      <c r="C25" s="3" t="s">
        <v>70</v>
      </c>
      <c r="D25" s="7" t="s">
        <v>71</v>
      </c>
    </row>
    <row r="26" spans="1:4">
      <c r="A26">
        <v>22</v>
      </c>
      <c r="B26" s="1">
        <v>23083000105</v>
      </c>
      <c r="C26" s="3" t="s">
        <v>72</v>
      </c>
      <c r="D26" s="7" t="s">
        <v>73</v>
      </c>
    </row>
    <row r="27" spans="1:4">
      <c r="A27">
        <v>23</v>
      </c>
      <c r="B27" s="1">
        <v>23083000112</v>
      </c>
      <c r="C27" s="3" t="s">
        <v>74</v>
      </c>
      <c r="D27" s="7" t="s">
        <v>75</v>
      </c>
    </row>
    <row r="28" spans="1:4">
      <c r="A28">
        <v>24</v>
      </c>
      <c r="B28" s="1">
        <v>23083000113</v>
      </c>
      <c r="C28" s="3" t="s">
        <v>76</v>
      </c>
      <c r="D28" s="7" t="s">
        <v>77</v>
      </c>
    </row>
    <row r="29" spans="1:4">
      <c r="A29">
        <v>25</v>
      </c>
      <c r="B29" s="1">
        <v>23083000115</v>
      </c>
      <c r="C29" s="3" t="s">
        <v>78</v>
      </c>
      <c r="D29" s="7" t="s">
        <v>79</v>
      </c>
    </row>
    <row r="30" spans="1:4">
      <c r="A30">
        <v>26</v>
      </c>
      <c r="B30" s="1">
        <v>23083000117</v>
      </c>
      <c r="C30" s="3" t="s">
        <v>80</v>
      </c>
      <c r="D30" s="7" t="s">
        <v>81</v>
      </c>
    </row>
    <row r="31" spans="1:4">
      <c r="A31">
        <v>27</v>
      </c>
      <c r="B31" s="1">
        <v>23083000122</v>
      </c>
      <c r="C31" s="3" t="s">
        <v>82</v>
      </c>
      <c r="D31" s="7" t="s">
        <v>83</v>
      </c>
    </row>
    <row r="32" spans="1:4">
      <c r="A32">
        <v>28</v>
      </c>
      <c r="B32" s="1">
        <v>23083000124</v>
      </c>
      <c r="C32" s="3" t="s">
        <v>84</v>
      </c>
      <c r="D32" s="7" t="s">
        <v>85</v>
      </c>
    </row>
    <row r="33" spans="1:4">
      <c r="A33">
        <v>29</v>
      </c>
      <c r="B33" s="1">
        <v>23083000130</v>
      </c>
      <c r="C33" s="3" t="s">
        <v>86</v>
      </c>
      <c r="D33" s="7" t="s">
        <v>87</v>
      </c>
    </row>
    <row r="34" spans="1:4">
      <c r="A34">
        <v>30</v>
      </c>
      <c r="B34" s="1">
        <v>23083000142</v>
      </c>
      <c r="C34" s="3" t="s">
        <v>88</v>
      </c>
      <c r="D34" s="7" t="s">
        <v>89</v>
      </c>
    </row>
    <row r="35" spans="1:4">
      <c r="A35">
        <v>31</v>
      </c>
      <c r="B35" s="1">
        <v>23083000145</v>
      </c>
      <c r="C35" s="3" t="s">
        <v>90</v>
      </c>
      <c r="D35" s="8" t="s">
        <v>91</v>
      </c>
    </row>
    <row r="36" spans="1:4">
      <c r="A36">
        <v>32</v>
      </c>
      <c r="B36" s="1">
        <v>23083000151</v>
      </c>
      <c r="C36" s="3" t="s">
        <v>92</v>
      </c>
      <c r="D36" s="8" t="s">
        <v>93</v>
      </c>
    </row>
    <row r="37" spans="1:4">
      <c r="A37">
        <v>33</v>
      </c>
      <c r="B37" s="1">
        <v>23083000177</v>
      </c>
      <c r="C37" s="3" t="s">
        <v>94</v>
      </c>
      <c r="D37" s="8" t="s">
        <v>95</v>
      </c>
    </row>
    <row r="38" spans="1:4">
      <c r="A38">
        <v>34</v>
      </c>
      <c r="B38" s="1">
        <v>23083000182</v>
      </c>
      <c r="C38" s="3" t="s">
        <v>96</v>
      </c>
      <c r="D38" s="8" t="s">
        <v>97</v>
      </c>
    </row>
    <row r="39" spans="1:4">
      <c r="A39">
        <v>35</v>
      </c>
      <c r="B39" s="1">
        <v>23083000194</v>
      </c>
      <c r="C39" s="3" t="s">
        <v>98</v>
      </c>
      <c r="D39" s="8" t="s">
        <v>99</v>
      </c>
    </row>
  </sheetData>
  <hyperlinks>
    <hyperlink ref="C1" r:id="rId1" xr:uid="{00000000-0004-0000-02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Tugas 7</vt:lpstr>
      <vt:lpstr>Tugas 6</vt:lpstr>
      <vt:lpstr>DT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unmer</dc:creator>
  <cp:lastModifiedBy>andhika rizqi</cp:lastModifiedBy>
  <dcterms:created xsi:type="dcterms:W3CDTF">2026-06-10T03:05:21Z</dcterms:created>
  <dcterms:modified xsi:type="dcterms:W3CDTF">2026-06-19T15:24:10Z</dcterms:modified>
</cp:coreProperties>
</file>